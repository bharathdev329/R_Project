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\Project\Datasets\"/>
    </mc:Choice>
  </mc:AlternateContent>
  <xr:revisionPtr revIDLastSave="0" documentId="13_ncr:1_{FFF99BAF-23AD-49C7-80A5-9565D11C76C6}" xr6:coauthVersionLast="47" xr6:coauthVersionMax="47" xr10:uidLastSave="{00000000-0000-0000-0000-000000000000}"/>
  <bookViews>
    <workbookView xWindow="-108" yWindow="-108" windowWidth="23256" windowHeight="12456" xr2:uid="{9D5E022C-BECE-4674-9179-9CB96CA9D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</calcChain>
</file>

<file path=xl/sharedStrings.xml><?xml version="1.0" encoding="utf-8"?>
<sst xmlns="http://schemas.openxmlformats.org/spreadsheetml/2006/main" count="15" uniqueCount="15">
  <si>
    <t>Column4</t>
  </si>
  <si>
    <t>Column5</t>
  </si>
  <si>
    <t>Column6</t>
  </si>
  <si>
    <t>Year</t>
  </si>
  <si>
    <t>GDP($)</t>
  </si>
  <si>
    <t>GDP Growth rate</t>
  </si>
  <si>
    <t>Export as % of GDP</t>
  </si>
  <si>
    <t>Import as % of GDP</t>
  </si>
  <si>
    <t>Export($)</t>
  </si>
  <si>
    <t>Import($)</t>
  </si>
  <si>
    <t>CO2 emission(in tons)</t>
  </si>
  <si>
    <t>CO2 emission from industrial use</t>
  </si>
  <si>
    <t>CO2 per capita</t>
  </si>
  <si>
    <t>Temperature change from CO2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</si>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</sst>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448BA-E8A3-4A70-A8A9-A2771B35236F}" name="Table1" displayName="Table1" ref="A1:O67" totalsRowShown="0">
  <autoFilter ref="A1:O67" xr:uid="{2E9448BA-E8A3-4A70-A8A9-A2771B35236F}"/>
  <tableColumns count="15">
    <tableColumn id="1" xr3:uid="{AE803531-7B02-4048-B8B4-BCEC9F8D7F97}" name="Year"/>
    <tableColumn id="2" xr3:uid="{5EF6389A-17DD-409A-B15B-351A608AA74F}" name="GDP($)"/>
    <tableColumn id="3" xr3:uid="{C45D8043-4DAB-4613-B893-6D08F529296E}" name="GDP Growth rate" dataDxfId="1">
      <calculatedColumnFormula>(Table1[[#This Row],[GDP($)]]-B1)/B1</calculatedColumnFormula>
    </tableColumn>
    <tableColumn id="4" xr3:uid="{5056A272-B2F7-4B21-9F45-B45EAE21FA2B}" name="Export($)" dataDxfId="0">
      <calculatedColumnFormula>(Table1[[#This Row],[GDP($)]]-B1)/B1</calculatedColumnFormula>
    </tableColumn>
    <tableColumn id="5" xr3:uid="{AC32656C-9E7E-4484-9A2D-C60FC4399EF8}" name="Export as % of GDP"/>
    <tableColumn id="6" xr3:uid="{1A715392-94C4-4E9A-A805-D786C34AF76C}" name="Import($)"/>
    <tableColumn id="7" xr3:uid="{9348CBE1-E771-4293-AB78-E84A6D26DEC8}" name="Import as % of GDP"/>
    <tableColumn id="8" xr3:uid="{3B660DE2-F967-40DD-A44D-F4A3C5F1AC38}" name="CO2 emission(in tons)"/>
    <tableColumn id="9" xr3:uid="{BD248D11-FFBD-4598-8331-99F7F963C1F9}" name="CO2 emission from industrial use"/>
    <tableColumn id="10" xr3:uid="{6A2DB736-0A25-40EE-82F7-4FCD25D4EAAC}" name="CO2 per capita"/>
    <tableColumn id="11" xr3:uid="{8B16C1DC-66FF-4388-B418-FCBD54C8FC63}" name="Temperature change from CO2"/>
    <tableColumn id="12" xr3:uid="{DA9123D7-CC0C-43DE-BCCF-B9FB6D5F9E15}" name="Column1"/>
    <tableColumn id="13" xr3:uid="{464D6D50-1480-4F90-9711-9FDCA9750E5C}" name="Column4"/>
    <tableColumn id="14" xr3:uid="{721B99C2-37DF-42AE-BE9C-25A61F1B2CBB}" name="Column5"/>
    <tableColumn id="15" xr3:uid="{0FD71210-4D9F-480A-B8C7-2E5BFD118330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9F1E-D565-483D-8861-7DF39FEA232C}">
  <dimension ref="A1:O67"/>
  <sheetViews>
    <sheetView tabSelected="1" topLeftCell="I1" workbookViewId="0">
      <selection activeCell="R12" sqref="R12"/>
    </sheetView>
  </sheetViews>
  <sheetFormatPr defaultRowHeight="14.4" x14ac:dyDescent="0.3"/>
  <cols>
    <col min="1" max="1" width="10.44140625" customWidth="1"/>
    <col min="2" max="2" width="18.77734375" bestFit="1" customWidth="1"/>
    <col min="3" max="3" width="17.33203125" bestFit="1" customWidth="1"/>
    <col min="4" max="4" width="18.77734375" bestFit="1" customWidth="1"/>
    <col min="5" max="5" width="19.109375" bestFit="1" customWidth="1"/>
    <col min="6" max="6" width="18.77734375" bestFit="1" customWidth="1"/>
    <col min="7" max="7" width="19.5546875" bestFit="1" customWidth="1"/>
    <col min="8" max="8" width="21.6640625" bestFit="1" customWidth="1"/>
    <col min="9" max="9" width="31" bestFit="1" customWidth="1"/>
    <col min="10" max="10" width="15.5546875" bestFit="1" customWidth="1"/>
    <col min="11" max="11" width="29.5546875" bestFit="1" customWidth="1"/>
  </cols>
  <sheetData>
    <row r="1" spans="1:15" x14ac:dyDescent="0.3">
      <c r="A1" t="s">
        <v>3</v>
      </c>
      <c r="B1" t="s">
        <v>4</v>
      </c>
      <c r="C1" t="s">
        <v>5</v>
      </c>
      <c r="D1" t="s">
        <v>8</v>
      </c>
      <c r="E1" t="s">
        <v>6</v>
      </c>
      <c r="F1" t="s">
        <v>9</v>
      </c>
      <c r="G1" t="s">
        <v>7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0</v>
      </c>
      <c r="N1" t="s">
        <v>1</v>
      </c>
      <c r="O1" t="s">
        <v>2</v>
      </c>
    </row>
    <row r="2" spans="1:15" x14ac:dyDescent="0.3">
      <c r="A2">
        <v>1960</v>
      </c>
      <c r="B2" s="2">
        <v>37029883876.183899</v>
      </c>
      <c r="D2" s="1">
        <v>1652701652.7016499</v>
      </c>
      <c r="E2">
        <v>4.4631564555475203</v>
      </c>
      <c r="F2" s="1">
        <v>2530502530.5025301</v>
      </c>
      <c r="G2">
        <v>6.8336766568421403</v>
      </c>
      <c r="H2">
        <v>111.325</v>
      </c>
      <c r="J2">
        <v>0.20200000000000001</v>
      </c>
      <c r="K2">
        <v>8.0000000000000002E-3</v>
      </c>
    </row>
    <row r="3" spans="1:15" x14ac:dyDescent="0.3">
      <c r="A3">
        <v>1961</v>
      </c>
      <c r="B3" s="2">
        <v>39232435784.035797</v>
      </c>
      <c r="C3">
        <f>(Table1[[#This Row],[GDP($)]]-B2)/B2</f>
        <v>5.9480389277388176E-2</v>
      </c>
      <c r="D3" s="1">
        <v>1688401688.40169</v>
      </c>
      <c r="E3">
        <v>4.3035861899982297</v>
      </c>
      <c r="F3" s="1">
        <v>2337302337.30234</v>
      </c>
      <c r="G3">
        <v>5.9575764048109798</v>
      </c>
      <c r="H3">
        <v>120.404</v>
      </c>
      <c r="J3">
        <v>0.21199999999999999</v>
      </c>
      <c r="K3">
        <v>8.0000000000000002E-3</v>
      </c>
    </row>
    <row r="4" spans="1:15" x14ac:dyDescent="0.3">
      <c r="A4">
        <v>1962</v>
      </c>
      <c r="B4" s="2">
        <v>42161481858.081902</v>
      </c>
      <c r="C4">
        <f>(Table1[[#This Row],[GDP($)]]-B3)/B3</f>
        <v>7.4658787187462175E-2</v>
      </c>
      <c r="D4" s="1">
        <v>1757701757.7017601</v>
      </c>
      <c r="E4">
        <v>4.16897528321772</v>
      </c>
      <c r="F4" s="1">
        <v>2543102543.10254</v>
      </c>
      <c r="G4">
        <v>6.03181489602947</v>
      </c>
      <c r="H4">
        <v>132.58199999999999</v>
      </c>
      <c r="J4">
        <v>0.22600000000000001</v>
      </c>
      <c r="K4">
        <v>8.9999999999999993E-3</v>
      </c>
    </row>
    <row r="5" spans="1:15" x14ac:dyDescent="0.3">
      <c r="A5">
        <v>1963</v>
      </c>
      <c r="B5" s="2">
        <v>48421923459.123497</v>
      </c>
      <c r="C5">
        <f>(Table1[[#This Row],[GDP($)]]-B4)/B4</f>
        <v>0.14848722874861517</v>
      </c>
      <c r="D5" s="1">
        <v>2072702072.70207</v>
      </c>
      <c r="E5">
        <v>4.2805033849012499</v>
      </c>
      <c r="F5" s="1">
        <v>2860202860.2028599</v>
      </c>
      <c r="G5">
        <v>5.9068344581919998</v>
      </c>
      <c r="H5">
        <v>142.44399999999999</v>
      </c>
      <c r="J5">
        <v>0.23599999999999999</v>
      </c>
      <c r="K5">
        <v>8.9999999999999993E-3</v>
      </c>
    </row>
    <row r="6" spans="1:15" x14ac:dyDescent="0.3">
      <c r="A6">
        <v>1964</v>
      </c>
      <c r="B6" s="2">
        <v>56480289940.989899</v>
      </c>
      <c r="C6">
        <f>(Table1[[#This Row],[GDP($)]]-B5)/B5</f>
        <v>0.16641979306478935</v>
      </c>
      <c r="D6" s="1">
        <v>2104202104.2021</v>
      </c>
      <c r="E6">
        <v>3.72555117263129</v>
      </c>
      <c r="F6" s="1">
        <v>3210903210.9032102</v>
      </c>
      <c r="G6">
        <v>5.68499774745833</v>
      </c>
      <c r="H6">
        <v>139.488</v>
      </c>
      <c r="J6">
        <v>0.221</v>
      </c>
      <c r="K6">
        <v>8.9999999999999993E-3</v>
      </c>
    </row>
    <row r="7" spans="1:15" x14ac:dyDescent="0.3">
      <c r="A7">
        <v>1965</v>
      </c>
      <c r="B7" s="2">
        <v>59556105229.005203</v>
      </c>
      <c r="C7">
        <f>(Table1[[#This Row],[GDP($)]]-B6)/B6</f>
        <v>5.4458206415528121E-2</v>
      </c>
      <c r="D7" s="1">
        <v>1969801969.80197</v>
      </c>
      <c r="E7">
        <v>3.3074727808806199</v>
      </c>
      <c r="F7" s="1">
        <v>3103803103.8031001</v>
      </c>
      <c r="G7">
        <v>5.2115615886370596</v>
      </c>
      <c r="H7">
        <v>153.702</v>
      </c>
      <c r="J7">
        <v>0.23799999999999999</v>
      </c>
      <c r="K7">
        <v>8.9999999999999993E-3</v>
      </c>
    </row>
    <row r="8" spans="1:15" x14ac:dyDescent="0.3">
      <c r="A8">
        <v>1966</v>
      </c>
      <c r="B8" s="2">
        <v>45581230504.070999</v>
      </c>
      <c r="C8">
        <f>(Table1[[#This Row],[GDP($)]]-B7)/B7</f>
        <v>-0.23465058151801566</v>
      </c>
      <c r="D8" s="1">
        <v>1888225564.8704901</v>
      </c>
      <c r="E8">
        <v>4.1425506595348303</v>
      </c>
      <c r="F8" s="1">
        <v>3041036962.3703599</v>
      </c>
      <c r="G8">
        <v>6.6716868516718799</v>
      </c>
      <c r="H8">
        <v>159.37299999999999</v>
      </c>
      <c r="J8">
        <v>0.23400000000000001</v>
      </c>
      <c r="K8">
        <v>8.9999999999999993E-3</v>
      </c>
    </row>
    <row r="9" spans="1:15" x14ac:dyDescent="0.3">
      <c r="A9">
        <v>1967</v>
      </c>
      <c r="B9" s="2">
        <v>50134942204</v>
      </c>
      <c r="C9">
        <f>(Table1[[#This Row],[GDP($)]]-B8)/B8</f>
        <v>9.9903220022160108E-2</v>
      </c>
      <c r="D9" s="1">
        <v>2022666666.6666701</v>
      </c>
      <c r="E9">
        <v>4.0344449953415698</v>
      </c>
      <c r="F9" s="1">
        <v>2981333333.3333302</v>
      </c>
      <c r="G9">
        <v>5.9466176727644999</v>
      </c>
      <c r="H9">
        <v>159.55600000000001</v>
      </c>
      <c r="J9">
        <v>0.23300000000000001</v>
      </c>
      <c r="K9">
        <v>8.9999999999999993E-3</v>
      </c>
    </row>
    <row r="10" spans="1:15" x14ac:dyDescent="0.3">
      <c r="A10">
        <v>1968</v>
      </c>
      <c r="B10" s="2">
        <v>53085455870.666702</v>
      </c>
      <c r="C10">
        <f>(Table1[[#This Row],[GDP($)]]-B9)/B9</f>
        <v>5.8851442466234589E-2</v>
      </c>
      <c r="D10" s="1">
        <v>2144000000</v>
      </c>
      <c r="E10">
        <v>4.0387710057976696</v>
      </c>
      <c r="F10" s="1">
        <v>2624000000</v>
      </c>
      <c r="G10">
        <v>4.9429734697822196</v>
      </c>
      <c r="H10">
        <v>174.06899999999999</v>
      </c>
      <c r="J10">
        <v>0.23699999999999999</v>
      </c>
      <c r="K10">
        <v>0.01</v>
      </c>
    </row>
    <row r="11" spans="1:15" x14ac:dyDescent="0.3">
      <c r="A11">
        <v>1969</v>
      </c>
      <c r="B11" s="2">
        <v>58447995017.333298</v>
      </c>
      <c r="C11">
        <f>(Table1[[#This Row],[GDP($)]]-B10)/B10</f>
        <v>0.10101710645061561</v>
      </c>
      <c r="D11" s="1">
        <v>2170666666.6666698</v>
      </c>
      <c r="E11">
        <v>3.7138428204815801</v>
      </c>
      <c r="F11" s="1">
        <v>2356000000</v>
      </c>
      <c r="G11">
        <v>4.0309338229674196</v>
      </c>
      <c r="H11">
        <v>177.41300000000001</v>
      </c>
      <c r="J11">
        <v>0.23100000000000001</v>
      </c>
      <c r="K11">
        <v>0.01</v>
      </c>
    </row>
    <row r="12" spans="1:15" x14ac:dyDescent="0.3">
      <c r="A12">
        <v>1970</v>
      </c>
      <c r="B12" s="2">
        <v>62422483054.666702</v>
      </c>
      <c r="C12">
        <f>(Table1[[#This Row],[GDP($)]]-B11)/B11</f>
        <v>6.8000417057158813E-2</v>
      </c>
      <c r="D12" s="1">
        <v>2361333333.3333302</v>
      </c>
      <c r="E12">
        <v>3.7828250620299602</v>
      </c>
      <c r="F12" s="1">
        <v>2421333333.3333302</v>
      </c>
      <c r="G12">
        <v>3.8789442759155301</v>
      </c>
      <c r="H12">
        <v>181.72300000000001</v>
      </c>
      <c r="I12">
        <v>17.631699999999999</v>
      </c>
      <c r="J12">
        <v>0.22600000000000001</v>
      </c>
      <c r="K12">
        <v>0.01</v>
      </c>
    </row>
    <row r="13" spans="1:15" x14ac:dyDescent="0.3">
      <c r="A13">
        <v>1971</v>
      </c>
      <c r="B13" s="2">
        <v>67351404351.833</v>
      </c>
      <c r="C13">
        <f>(Table1[[#This Row],[GDP($)]]-B12)/B12</f>
        <v>7.8960673397913031E-2</v>
      </c>
      <c r="D13" s="1">
        <v>2469914214.1547298</v>
      </c>
      <c r="E13">
        <v>3.66720521706169</v>
      </c>
      <c r="F13" s="1">
        <v>2695673511.2047801</v>
      </c>
      <c r="G13">
        <v>4.0024013413633002</v>
      </c>
      <c r="H13">
        <v>191.964</v>
      </c>
      <c r="I13">
        <v>18.014099999999999</v>
      </c>
      <c r="J13">
        <v>0.22700000000000001</v>
      </c>
      <c r="K13">
        <v>0.01</v>
      </c>
    </row>
    <row r="14" spans="1:15" x14ac:dyDescent="0.3">
      <c r="A14">
        <v>1972</v>
      </c>
      <c r="B14" s="2">
        <v>71464700666.986893</v>
      </c>
      <c r="C14">
        <f>(Table1[[#This Row],[GDP($)]]-B13)/B13</f>
        <v>6.1072168498026977E-2</v>
      </c>
      <c r="D14" s="1">
        <v>2878233145.1637201</v>
      </c>
      <c r="E14">
        <v>4.02748926155276</v>
      </c>
      <c r="F14" s="1">
        <v>2650561669.4114399</v>
      </c>
      <c r="G14">
        <v>3.7089103356951001</v>
      </c>
      <c r="H14">
        <v>203.036</v>
      </c>
      <c r="I14">
        <v>19.210699999999999</v>
      </c>
      <c r="J14">
        <v>0.23599999999999999</v>
      </c>
      <c r="K14">
        <v>0.01</v>
      </c>
    </row>
    <row r="15" spans="1:15" x14ac:dyDescent="0.3">
      <c r="A15">
        <v>1973</v>
      </c>
      <c r="B15" s="2">
        <v>85517673172.5513</v>
      </c>
      <c r="C15">
        <f>(Table1[[#This Row],[GDP($)]]-B14)/B14</f>
        <v>0.19664215164139315</v>
      </c>
      <c r="D15" s="1">
        <v>3599236351.4223199</v>
      </c>
      <c r="E15">
        <v>4.2087631923287203</v>
      </c>
      <c r="F15" s="1">
        <v>4039284329.37006</v>
      </c>
      <c r="G15">
        <v>4.7233328264438201</v>
      </c>
      <c r="H15">
        <v>209.095</v>
      </c>
      <c r="I15">
        <v>18.2683</v>
      </c>
      <c r="J15">
        <v>0.23599999999999999</v>
      </c>
      <c r="K15">
        <v>0.01</v>
      </c>
    </row>
    <row r="16" spans="1:15" x14ac:dyDescent="0.3">
      <c r="A16">
        <v>1974</v>
      </c>
      <c r="B16" s="2">
        <v>99526597933.633102</v>
      </c>
      <c r="C16">
        <f>(Table1[[#This Row],[GDP($)]]-B15)/B15</f>
        <v>0.16381321242002947</v>
      </c>
      <c r="D16" s="1">
        <v>4808449429.9072304</v>
      </c>
      <c r="E16">
        <v>4.8313210033700003</v>
      </c>
      <c r="F16" s="1">
        <v>5992067751.11516</v>
      </c>
      <c r="G16">
        <v>6.0205692503533799</v>
      </c>
      <c r="H16">
        <v>215.85300000000001</v>
      </c>
      <c r="I16">
        <v>17.484500000000001</v>
      </c>
      <c r="J16">
        <v>0.24399999999999999</v>
      </c>
      <c r="K16">
        <v>1.0999999999999999E-2</v>
      </c>
    </row>
    <row r="17" spans="1:11" x14ac:dyDescent="0.3">
      <c r="A17">
        <v>1975</v>
      </c>
      <c r="B17" s="2">
        <v>98473832017.324203</v>
      </c>
      <c r="C17">
        <f>(Table1[[#This Row],[GDP($)]]-B16)/B16</f>
        <v>-1.0577734376200725E-2</v>
      </c>
      <c r="D17" s="1">
        <v>5560878503.2407799</v>
      </c>
      <c r="E17">
        <v>5.64706215785578</v>
      </c>
      <c r="F17" s="1">
        <v>6545472951.4455099</v>
      </c>
      <c r="G17">
        <v>6.6469160561294904</v>
      </c>
      <c r="H17">
        <v>234.209</v>
      </c>
      <c r="I17">
        <v>19.220099999999999</v>
      </c>
      <c r="J17">
        <v>0.26400000000000001</v>
      </c>
      <c r="K17">
        <v>1.0999999999999999E-2</v>
      </c>
    </row>
    <row r="18" spans="1:11" x14ac:dyDescent="0.3">
      <c r="A18">
        <v>1976</v>
      </c>
      <c r="B18" s="2">
        <v>102716451979.67999</v>
      </c>
      <c r="C18">
        <f>(Table1[[#This Row],[GDP($)]]-B17)/B17</f>
        <v>4.3083729712167569E-2</v>
      </c>
      <c r="D18" s="1">
        <v>6868148772.6722202</v>
      </c>
      <c r="E18">
        <v>6.6865128616698097</v>
      </c>
      <c r="F18" s="1">
        <v>6280792834.3023005</v>
      </c>
      <c r="G18">
        <v>6.1146902110138903</v>
      </c>
      <c r="H18">
        <v>244.749</v>
      </c>
      <c r="I18">
        <v>21.194199999999999</v>
      </c>
      <c r="J18">
        <v>0.27</v>
      </c>
      <c r="K18">
        <v>1.0999999999999999E-2</v>
      </c>
    </row>
    <row r="19" spans="1:11" x14ac:dyDescent="0.3">
      <c r="A19">
        <v>1977</v>
      </c>
      <c r="B19" s="2">
        <v>121486641441.30901</v>
      </c>
      <c r="C19">
        <f>(Table1[[#This Row],[GDP($)]]-B18)/B18</f>
        <v>0.18273790712068452</v>
      </c>
      <c r="D19" s="1">
        <v>7754701053.9386196</v>
      </c>
      <c r="E19">
        <v>6.3831718137380102</v>
      </c>
      <c r="F19" s="1">
        <v>7611052224.1743898</v>
      </c>
      <c r="G19">
        <v>6.26492932381485</v>
      </c>
      <c r="H19">
        <v>258.96199999999999</v>
      </c>
      <c r="I19">
        <v>21.316099999999999</v>
      </c>
      <c r="J19">
        <v>0.27700000000000002</v>
      </c>
      <c r="K19">
        <v>1.0999999999999999E-2</v>
      </c>
    </row>
    <row r="20" spans="1:11" x14ac:dyDescent="0.3">
      <c r="A20">
        <v>1978</v>
      </c>
      <c r="B20" s="2">
        <v>137302319828.995</v>
      </c>
      <c r="C20">
        <f>(Table1[[#This Row],[GDP($)]]-B19)/B19</f>
        <v>0.13018450588517297</v>
      </c>
      <c r="D20" s="1">
        <v>8670401540.1265297</v>
      </c>
      <c r="E20">
        <v>6.3148252345082003</v>
      </c>
      <c r="F20" s="1">
        <v>9045733047.4152107</v>
      </c>
      <c r="G20">
        <v>6.58818660797672</v>
      </c>
      <c r="H20">
        <v>263.14999999999998</v>
      </c>
      <c r="I20">
        <v>21.8414</v>
      </c>
      <c r="J20">
        <v>0.26600000000000001</v>
      </c>
      <c r="K20">
        <v>1.0999999999999999E-2</v>
      </c>
    </row>
    <row r="21" spans="1:11" x14ac:dyDescent="0.3">
      <c r="A21">
        <v>1979</v>
      </c>
      <c r="B21" s="2">
        <v>152995442497.70901</v>
      </c>
      <c r="C21">
        <f>(Table1[[#This Row],[GDP($)]]-B20)/B20</f>
        <v>0.11429612178628321</v>
      </c>
      <c r="D21" s="1">
        <v>10326638765.756201</v>
      </c>
      <c r="E21">
        <v>6.74963815730053</v>
      </c>
      <c r="F21" s="1">
        <v>12498452242.391199</v>
      </c>
      <c r="G21">
        <v>8.1691663740757203</v>
      </c>
      <c r="H21">
        <v>276.28500000000003</v>
      </c>
      <c r="I21">
        <v>21.665700000000001</v>
      </c>
      <c r="J21">
        <v>0.26900000000000002</v>
      </c>
      <c r="K21">
        <v>1.2E-2</v>
      </c>
    </row>
    <row r="22" spans="1:11" x14ac:dyDescent="0.3">
      <c r="A22">
        <v>1980</v>
      </c>
      <c r="B22" s="2">
        <v>186328579302.06799</v>
      </c>
      <c r="C22">
        <f>(Table1[[#This Row],[GDP($)]]-B21)/B21</f>
        <v>0.21787012907170825</v>
      </c>
      <c r="D22" s="1">
        <v>11439738400.0812</v>
      </c>
      <c r="E22">
        <v>6.1395511321618299</v>
      </c>
      <c r="F22" s="1">
        <v>17226125073.375099</v>
      </c>
      <c r="G22">
        <v>9.2450257163442604</v>
      </c>
      <c r="H22">
        <v>291.71100000000001</v>
      </c>
      <c r="I22">
        <v>20.376999999999999</v>
      </c>
      <c r="J22">
        <v>0.28699999999999998</v>
      </c>
      <c r="K22">
        <v>1.2E-2</v>
      </c>
    </row>
    <row r="23" spans="1:11" x14ac:dyDescent="0.3">
      <c r="A23">
        <v>1981</v>
      </c>
      <c r="B23" s="2">
        <v>193491368445.573</v>
      </c>
      <c r="C23">
        <f>(Table1[[#This Row],[GDP($)]]-B22)/B22</f>
        <v>3.8441709641831134E-2</v>
      </c>
      <c r="D23" s="1">
        <v>11485699151.0595</v>
      </c>
      <c r="E23">
        <v>5.9360266265780597</v>
      </c>
      <c r="F23" s="1">
        <v>16584605960.2223</v>
      </c>
      <c r="G23">
        <v>8.5712381350423694</v>
      </c>
      <c r="H23">
        <v>314.96600000000001</v>
      </c>
      <c r="I23">
        <v>23.7712</v>
      </c>
      <c r="J23">
        <v>0.29899999999999999</v>
      </c>
      <c r="K23">
        <v>1.2E-2</v>
      </c>
    </row>
    <row r="24" spans="1:11" x14ac:dyDescent="0.3">
      <c r="A24">
        <v>1982</v>
      </c>
      <c r="B24" s="2">
        <v>200715624830.90201</v>
      </c>
      <c r="C24">
        <f>(Table1[[#This Row],[GDP($)]]-B23)/B23</f>
        <v>3.733632380279079E-2</v>
      </c>
      <c r="D24" s="1">
        <v>12009417676.703699</v>
      </c>
      <c r="E24">
        <v>5.9832998486397804</v>
      </c>
      <c r="F24" s="1">
        <v>16343526468.9622</v>
      </c>
      <c r="G24">
        <v>8.1426279009076907</v>
      </c>
      <c r="H24">
        <v>325.38</v>
      </c>
      <c r="I24">
        <v>24.569700000000001</v>
      </c>
      <c r="J24">
        <v>0.29599999999999999</v>
      </c>
      <c r="K24">
        <v>1.2E-2</v>
      </c>
    </row>
    <row r="25" spans="1:11" x14ac:dyDescent="0.3">
      <c r="A25">
        <v>1983</v>
      </c>
      <c r="B25" s="2">
        <v>218262146413.15799</v>
      </c>
      <c r="C25">
        <f>(Table1[[#This Row],[GDP($)]]-B24)/B24</f>
        <v>8.7419808981181693E-2</v>
      </c>
      <c r="D25" s="1">
        <v>12741335281.076401</v>
      </c>
      <c r="E25">
        <v>5.8376294242785596</v>
      </c>
      <c r="F25" s="1">
        <v>17140048793.1369</v>
      </c>
      <c r="G25">
        <v>7.8529644626016903</v>
      </c>
      <c r="H25">
        <v>352.19900000000001</v>
      </c>
      <c r="I25">
        <v>25.381</v>
      </c>
      <c r="J25">
        <v>0.315</v>
      </c>
      <c r="K25">
        <v>1.2E-2</v>
      </c>
    </row>
    <row r="26" spans="1:11" x14ac:dyDescent="0.3">
      <c r="A26">
        <v>1984</v>
      </c>
      <c r="B26" s="2">
        <v>212157645177.65201</v>
      </c>
      <c r="C26">
        <f>(Table1[[#This Row],[GDP($)]]-B25)/B25</f>
        <v>-2.7968666742379154E-2</v>
      </c>
      <c r="D26" s="1">
        <v>13330716432.207001</v>
      </c>
      <c r="E26">
        <v>6.2834013928861197</v>
      </c>
      <c r="F26" s="1">
        <v>16391245674.941299</v>
      </c>
      <c r="G26">
        <v>7.72597455124279</v>
      </c>
      <c r="H26">
        <v>361.55900000000003</v>
      </c>
      <c r="I26">
        <v>28.6708</v>
      </c>
      <c r="J26">
        <v>0.307</v>
      </c>
      <c r="K26">
        <v>1.2999999999999999E-2</v>
      </c>
    </row>
    <row r="27" spans="1:11" x14ac:dyDescent="0.3">
      <c r="A27">
        <v>1985</v>
      </c>
      <c r="B27" s="2">
        <v>232511554840.37201</v>
      </c>
      <c r="C27">
        <f>(Table1[[#This Row],[GDP($)]]-B26)/B26</f>
        <v>9.5937667698359305E-2</v>
      </c>
      <c r="D27" s="1">
        <v>12217447521.8095</v>
      </c>
      <c r="E27">
        <v>5.2545549962870801</v>
      </c>
      <c r="F27" s="1">
        <v>17776627208.176399</v>
      </c>
      <c r="G27">
        <v>7.6454811978616304</v>
      </c>
      <c r="H27">
        <v>397.59199999999998</v>
      </c>
      <c r="I27">
        <v>30.5943</v>
      </c>
      <c r="J27">
        <v>0.32800000000000001</v>
      </c>
      <c r="K27">
        <v>1.2999999999999999E-2</v>
      </c>
    </row>
    <row r="28" spans="1:11" x14ac:dyDescent="0.3">
      <c r="A28">
        <v>1986</v>
      </c>
      <c r="B28" s="2">
        <v>248985994040.59</v>
      </c>
      <c r="C28">
        <f>(Table1[[#This Row],[GDP($)]]-B27)/B27</f>
        <v>7.0854281678724804E-2</v>
      </c>
      <c r="D28" s="1">
        <v>12937864153.599501</v>
      </c>
      <c r="E28">
        <v>5.1962216603598899</v>
      </c>
      <c r="F28" s="1">
        <v>17486411449.575699</v>
      </c>
      <c r="G28">
        <v>7.0230502390126803</v>
      </c>
      <c r="H28">
        <v>426.30900000000003</v>
      </c>
      <c r="I28">
        <v>32.503599999999999</v>
      </c>
      <c r="J28">
        <v>0.34499999999999997</v>
      </c>
      <c r="K28">
        <v>1.2999999999999999E-2</v>
      </c>
    </row>
    <row r="29" spans="1:11" x14ac:dyDescent="0.3">
      <c r="A29">
        <v>1987</v>
      </c>
      <c r="B29" s="2">
        <v>279033584092.22302</v>
      </c>
      <c r="C29">
        <f>(Table1[[#This Row],[GDP($)]]-B28)/B28</f>
        <v>0.12067984051638918</v>
      </c>
      <c r="D29" s="1">
        <v>15638662913.9839</v>
      </c>
      <c r="E29">
        <v>5.6045808840039602</v>
      </c>
      <c r="F29" s="1">
        <v>19477194741.103401</v>
      </c>
      <c r="G29">
        <v>6.9802331516718201</v>
      </c>
      <c r="H29">
        <v>455.34300000000002</v>
      </c>
      <c r="I29">
        <v>34.551600000000001</v>
      </c>
      <c r="J29">
        <v>0.36099999999999999</v>
      </c>
      <c r="K29">
        <v>1.2999999999999999E-2</v>
      </c>
    </row>
    <row r="30" spans="1:11" x14ac:dyDescent="0.3">
      <c r="A30">
        <v>1988</v>
      </c>
      <c r="B30" s="2">
        <v>296589670895.93201</v>
      </c>
      <c r="C30">
        <f>(Table1[[#This Row],[GDP($)]]-B29)/B29</f>
        <v>6.2917468737048315E-2</v>
      </c>
      <c r="D30" s="1">
        <v>17899838408.937599</v>
      </c>
      <c r="E30">
        <v>6.0352197549112798</v>
      </c>
      <c r="F30" s="1">
        <v>22111443193.3815</v>
      </c>
      <c r="G30">
        <v>7.4552303613904201</v>
      </c>
      <c r="H30">
        <v>491.69200000000001</v>
      </c>
      <c r="I30">
        <v>38.2864</v>
      </c>
      <c r="J30">
        <v>0.38300000000000001</v>
      </c>
      <c r="K30">
        <v>1.4E-2</v>
      </c>
    </row>
    <row r="31" spans="1:11" x14ac:dyDescent="0.3">
      <c r="A31">
        <v>1989</v>
      </c>
      <c r="B31" s="2">
        <v>296042052944.65997</v>
      </c>
      <c r="C31">
        <f>(Table1[[#This Row],[GDP($)]]-B30)/B30</f>
        <v>-1.8463824098047669E-3</v>
      </c>
      <c r="D31" s="1">
        <v>20770696112.0947</v>
      </c>
      <c r="E31">
        <v>7.0161302779431098</v>
      </c>
      <c r="F31" s="1">
        <v>24133353522.481201</v>
      </c>
      <c r="G31">
        <v>8.1520018127264091</v>
      </c>
      <c r="H31">
        <v>540.65099999999995</v>
      </c>
      <c r="I31">
        <v>40.979900000000001</v>
      </c>
      <c r="J31">
        <v>0.40100000000000002</v>
      </c>
      <c r="K31">
        <v>1.4E-2</v>
      </c>
    </row>
    <row r="32" spans="1:11" x14ac:dyDescent="0.3">
      <c r="A32">
        <v>1990</v>
      </c>
      <c r="B32" s="2">
        <v>320979026420.03497</v>
      </c>
      <c r="C32">
        <f>(Table1[[#This Row],[GDP($)]]-B31)/B31</f>
        <v>8.4234564742856122E-2</v>
      </c>
      <c r="D32" s="1">
        <v>22639774911.552502</v>
      </c>
      <c r="E32">
        <v>7.0533502341445704</v>
      </c>
      <c r="F32" s="1">
        <v>27132072318.021</v>
      </c>
      <c r="G32">
        <v>8.4529112760519798</v>
      </c>
      <c r="H32">
        <v>577.99599999999998</v>
      </c>
      <c r="I32">
        <v>43.0625</v>
      </c>
      <c r="J32">
        <v>0.42399999999999999</v>
      </c>
      <c r="K32">
        <v>1.4E-2</v>
      </c>
    </row>
    <row r="33" spans="1:11" x14ac:dyDescent="0.3">
      <c r="A33">
        <v>1991</v>
      </c>
      <c r="B33" s="2">
        <v>270105341879.22601</v>
      </c>
      <c r="C33">
        <f>(Table1[[#This Row],[GDP($)]]-B32)/B32</f>
        <v>-0.15849535437943341</v>
      </c>
      <c r="D33" s="1">
        <v>22943398073.2995</v>
      </c>
      <c r="E33">
        <v>8.4942407705354697</v>
      </c>
      <c r="F33" s="1">
        <v>22941358805.152</v>
      </c>
      <c r="G33">
        <v>8.49348578059959</v>
      </c>
      <c r="H33">
        <v>615.36500000000001</v>
      </c>
      <c r="I33">
        <v>46.690600000000003</v>
      </c>
      <c r="J33">
        <v>0.44500000000000001</v>
      </c>
      <c r="K33">
        <v>1.4999999999999999E-2</v>
      </c>
    </row>
    <row r="34" spans="1:11" x14ac:dyDescent="0.3">
      <c r="A34">
        <v>1992</v>
      </c>
      <c r="B34" s="2">
        <v>288208070278.013</v>
      </c>
      <c r="C34">
        <f>(Table1[[#This Row],[GDP($)]]-B33)/B33</f>
        <v>6.7020993634703388E-2</v>
      </c>
      <c r="D34" s="1">
        <v>25486029046.697498</v>
      </c>
      <c r="E34">
        <v>8.8429269250208797</v>
      </c>
      <c r="F34" s="1">
        <v>27639649994.189999</v>
      </c>
      <c r="G34">
        <v>9.5901721168071692</v>
      </c>
      <c r="H34">
        <v>655.447</v>
      </c>
      <c r="I34">
        <v>45.801000000000002</v>
      </c>
      <c r="J34">
        <v>0.45600000000000002</v>
      </c>
      <c r="K34">
        <v>1.4999999999999999E-2</v>
      </c>
    </row>
    <row r="35" spans="1:11" x14ac:dyDescent="0.3">
      <c r="A35">
        <v>1993</v>
      </c>
      <c r="B35" s="2">
        <v>279295648982.52899</v>
      </c>
      <c r="C35">
        <f>(Table1[[#This Row],[GDP($)]]-B34)/B34</f>
        <v>-3.0923566043403489E-2</v>
      </c>
      <c r="D35" s="1">
        <v>27466541462.913502</v>
      </c>
      <c r="E35">
        <v>9.8342174548632606</v>
      </c>
      <c r="F35" s="1">
        <v>27419354118.763302</v>
      </c>
      <c r="G35">
        <v>9.8173223316051104</v>
      </c>
      <c r="H35">
        <v>677.29899999999998</v>
      </c>
      <c r="I35">
        <v>48.425699999999999</v>
      </c>
      <c r="J35">
        <v>0.47</v>
      </c>
      <c r="K35">
        <v>1.4999999999999999E-2</v>
      </c>
    </row>
    <row r="36" spans="1:11" x14ac:dyDescent="0.3">
      <c r="A36">
        <v>1994</v>
      </c>
      <c r="B36" s="2">
        <v>327274843459.42902</v>
      </c>
      <c r="C36">
        <f>(Table1[[#This Row],[GDP($)]]-B35)/B35</f>
        <v>0.1717864014412244</v>
      </c>
      <c r="D36" s="1">
        <v>32361214431.432098</v>
      </c>
      <c r="E36">
        <v>9.8880849164454006</v>
      </c>
      <c r="F36" s="1">
        <v>33349501147.7089</v>
      </c>
      <c r="G36">
        <v>10.1900594604801</v>
      </c>
      <c r="H36">
        <v>714.06399999999996</v>
      </c>
      <c r="I36">
        <v>51.839700000000001</v>
      </c>
      <c r="J36">
        <v>0.48399999999999999</v>
      </c>
      <c r="K36">
        <v>1.6E-2</v>
      </c>
    </row>
    <row r="37" spans="1:11" x14ac:dyDescent="0.3">
      <c r="A37">
        <v>1995</v>
      </c>
      <c r="B37" s="2">
        <v>360281909643.48901</v>
      </c>
      <c r="C37">
        <f>(Table1[[#This Row],[GDP($)]]-B36)/B36</f>
        <v>0.10085427231485868</v>
      </c>
      <c r="D37" s="1">
        <v>39068855117.851799</v>
      </c>
      <c r="E37">
        <v>10.843968035062201</v>
      </c>
      <c r="F37" s="1">
        <v>43318425767.770699</v>
      </c>
      <c r="G37">
        <v>12.0234806711877</v>
      </c>
      <c r="H37">
        <v>760.46199999999999</v>
      </c>
      <c r="I37">
        <v>55.222099999999998</v>
      </c>
      <c r="J37">
        <v>0.49099999999999999</v>
      </c>
      <c r="K37">
        <v>1.6E-2</v>
      </c>
    </row>
    <row r="38" spans="1:11" x14ac:dyDescent="0.3">
      <c r="A38">
        <v>1996</v>
      </c>
      <c r="B38" s="2">
        <v>392896866204.51599</v>
      </c>
      <c r="C38">
        <f>(Table1[[#This Row],[GDP($)]]-B37)/B37</f>
        <v>9.052621208014737E-2</v>
      </c>
      <c r="D38" s="1">
        <v>40803004618.1754</v>
      </c>
      <c r="E38">
        <v>10.3851692716063</v>
      </c>
      <c r="F38" s="1">
        <v>45357266003.202103</v>
      </c>
      <c r="G38">
        <v>11.5443185997804</v>
      </c>
      <c r="H38">
        <v>823.62099999999998</v>
      </c>
      <c r="I38">
        <v>57.735100000000003</v>
      </c>
      <c r="J38">
        <v>0.51500000000000001</v>
      </c>
      <c r="K38">
        <v>1.6E-2</v>
      </c>
    </row>
    <row r="39" spans="1:11" x14ac:dyDescent="0.3">
      <c r="A39">
        <v>1997</v>
      </c>
      <c r="B39" s="2">
        <v>415867563592.82898</v>
      </c>
      <c r="C39">
        <f>(Table1[[#This Row],[GDP($)]]-B38)/B38</f>
        <v>5.846495445539128E-2</v>
      </c>
      <c r="D39" s="1">
        <v>44459225642.5392</v>
      </c>
      <c r="E39">
        <v>10.690717318379001</v>
      </c>
      <c r="F39" s="1">
        <v>49607467421.089104</v>
      </c>
      <c r="G39">
        <v>11.9286695486689</v>
      </c>
      <c r="H39">
        <v>858.01099999999997</v>
      </c>
      <c r="I39">
        <v>63.665399999999998</v>
      </c>
      <c r="J39">
        <v>0.52800000000000002</v>
      </c>
      <c r="K39">
        <v>1.7000000000000001E-2</v>
      </c>
    </row>
    <row r="40" spans="1:11" x14ac:dyDescent="0.3">
      <c r="A40">
        <v>1998</v>
      </c>
      <c r="B40" s="2">
        <v>421351317224.94098</v>
      </c>
      <c r="C40">
        <f>(Table1[[#This Row],[GDP($)]]-B39)/B39</f>
        <v>1.3186298024149529E-2</v>
      </c>
      <c r="D40" s="1">
        <v>46426465025.047699</v>
      </c>
      <c r="E40">
        <v>11.0184691793102</v>
      </c>
      <c r="F40" s="1">
        <v>53431564328.422401</v>
      </c>
      <c r="G40">
        <v>12.681000899754499</v>
      </c>
      <c r="H40">
        <v>875.77200000000005</v>
      </c>
      <c r="I40">
        <v>70.892300000000006</v>
      </c>
      <c r="J40">
        <v>0.51500000000000001</v>
      </c>
      <c r="K40">
        <v>1.7000000000000001E-2</v>
      </c>
    </row>
    <row r="41" spans="1:11" x14ac:dyDescent="0.3">
      <c r="A41">
        <v>1999</v>
      </c>
      <c r="B41" s="2">
        <v>458821052615.78998</v>
      </c>
      <c r="C41">
        <f>(Table1[[#This Row],[GDP($)]]-B40)/B40</f>
        <v>8.8927538277625826E-2</v>
      </c>
      <c r="D41" s="1">
        <v>52544483402.693604</v>
      </c>
      <c r="E41">
        <v>11.4520646128009</v>
      </c>
      <c r="F41" s="1">
        <v>61314704757.0345</v>
      </c>
      <c r="G41">
        <v>13.363533431492</v>
      </c>
      <c r="H41">
        <v>960.76300000000003</v>
      </c>
      <c r="I41">
        <v>69.843000000000004</v>
      </c>
      <c r="J41">
        <v>0.54</v>
      </c>
      <c r="K41">
        <v>1.7999999999999999E-2</v>
      </c>
    </row>
    <row r="42" spans="1:11" x14ac:dyDescent="0.3">
      <c r="A42">
        <v>2000</v>
      </c>
      <c r="B42" s="2">
        <v>468395521654.45801</v>
      </c>
      <c r="C42">
        <f>(Table1[[#This Row],[GDP($)]]-B41)/B41</f>
        <v>2.0867545166210037E-2</v>
      </c>
      <c r="D42" s="1">
        <v>60878472821.200401</v>
      </c>
      <c r="E42">
        <v>12.997236311347899</v>
      </c>
      <c r="F42" s="1">
        <v>65124245375.053101</v>
      </c>
      <c r="G42">
        <v>13.903686599099499</v>
      </c>
      <c r="H42">
        <v>986.44500000000005</v>
      </c>
      <c r="I42">
        <v>71.429400000000001</v>
      </c>
      <c r="J42">
        <v>0.54200000000000004</v>
      </c>
      <c r="K42">
        <v>1.7999999999999999E-2</v>
      </c>
    </row>
    <row r="43" spans="1:11" x14ac:dyDescent="0.3">
      <c r="A43">
        <v>2001</v>
      </c>
      <c r="B43" s="2">
        <v>485440139204.17102</v>
      </c>
      <c r="C43">
        <f>(Table1[[#This Row],[GDP($)]]-B42)/B42</f>
        <v>3.6389369158587016E-2</v>
      </c>
      <c r="D43" s="1">
        <v>60963415576.644699</v>
      </c>
      <c r="E43">
        <v>12.5583796339108</v>
      </c>
      <c r="F43" s="1">
        <v>65218276482.132202</v>
      </c>
      <c r="G43">
        <v>13.434875119525699</v>
      </c>
      <c r="H43">
        <v>1000.527</v>
      </c>
      <c r="I43">
        <v>73.944800000000001</v>
      </c>
      <c r="J43">
        <v>0.54</v>
      </c>
      <c r="K43">
        <v>1.9E-2</v>
      </c>
    </row>
    <row r="44" spans="1:11" x14ac:dyDescent="0.3">
      <c r="A44">
        <v>2002</v>
      </c>
      <c r="B44" s="2">
        <v>514939140318.75598</v>
      </c>
      <c r="C44">
        <f>(Table1[[#This Row],[GDP($)]]-B43)/B43</f>
        <v>6.0767535958080286E-2</v>
      </c>
      <c r="D44" s="1">
        <v>73452895951.633102</v>
      </c>
      <c r="E44">
        <v>14.2643839243147</v>
      </c>
      <c r="F44" s="1">
        <v>78498759285.731293</v>
      </c>
      <c r="G44">
        <v>15.2442790107467</v>
      </c>
      <c r="H44">
        <v>1032.1400000000001</v>
      </c>
      <c r="I44">
        <v>79.688400000000001</v>
      </c>
      <c r="J44">
        <v>0.54500000000000004</v>
      </c>
      <c r="K44">
        <v>1.9E-2</v>
      </c>
    </row>
    <row r="45" spans="1:11" x14ac:dyDescent="0.3">
      <c r="A45">
        <v>2003</v>
      </c>
      <c r="B45" s="2">
        <v>607700687237.31799</v>
      </c>
      <c r="C45">
        <f>(Table1[[#This Row],[GDP($)]]-B44)/B44</f>
        <v>0.18014079656314541</v>
      </c>
      <c r="D45" s="1">
        <v>90838575243.7621</v>
      </c>
      <c r="E45">
        <v>14.947913858173401</v>
      </c>
      <c r="F45" s="1">
        <v>95071869378.557297</v>
      </c>
      <c r="G45">
        <v>15.6445222747346</v>
      </c>
      <c r="H45">
        <v>1067.7370000000001</v>
      </c>
      <c r="I45">
        <v>83.381799999999998</v>
      </c>
      <c r="J45">
        <v>0.56000000000000005</v>
      </c>
      <c r="K45">
        <v>0.02</v>
      </c>
    </row>
    <row r="46" spans="1:11" x14ac:dyDescent="0.3">
      <c r="A46">
        <v>2004</v>
      </c>
      <c r="B46" s="2">
        <v>709152728830.77502</v>
      </c>
      <c r="C46">
        <f>(Table1[[#This Row],[GDP($)]]-B45)/B45</f>
        <v>0.16694409554590184</v>
      </c>
      <c r="D46" s="1">
        <v>126648472020.752</v>
      </c>
      <c r="E46">
        <v>17.859124963047901</v>
      </c>
      <c r="F46" s="1">
        <v>139310848797.436</v>
      </c>
      <c r="G46">
        <v>19.644689096399102</v>
      </c>
      <c r="H46">
        <v>1133.828</v>
      </c>
      <c r="I46">
        <v>87.662099999999995</v>
      </c>
      <c r="J46">
        <v>0.59</v>
      </c>
      <c r="K46">
        <v>0.02</v>
      </c>
    </row>
    <row r="47" spans="1:11" x14ac:dyDescent="0.3">
      <c r="A47">
        <v>2005</v>
      </c>
      <c r="B47" s="2">
        <v>820383763511.44495</v>
      </c>
      <c r="C47">
        <f>(Table1[[#This Row],[GDP($)]]-B46)/B46</f>
        <v>0.15685060517790514</v>
      </c>
      <c r="D47" s="1">
        <v>160838260680.77802</v>
      </c>
      <c r="E47">
        <v>19.6052466948335</v>
      </c>
      <c r="F47" s="1">
        <v>183736617243.328</v>
      </c>
      <c r="G47">
        <v>22.396422920035601</v>
      </c>
      <c r="H47">
        <v>1194.5920000000001</v>
      </c>
      <c r="I47">
        <v>92.381200000000007</v>
      </c>
      <c r="J47">
        <v>0.625</v>
      </c>
      <c r="K47">
        <v>2.1000000000000001E-2</v>
      </c>
    </row>
    <row r="48" spans="1:11" x14ac:dyDescent="0.3">
      <c r="A48">
        <v>2006</v>
      </c>
      <c r="B48" s="2">
        <v>940259888787.72095</v>
      </c>
      <c r="C48">
        <f>(Table1[[#This Row],[GDP($)]]-B47)/B47</f>
        <v>0.14612201095152907</v>
      </c>
      <c r="D48" s="1">
        <v>199973922363.78299</v>
      </c>
      <c r="E48">
        <v>21.2679414221966</v>
      </c>
      <c r="F48" s="1">
        <v>229955027127.37201</v>
      </c>
      <c r="G48">
        <v>24.456539077068701</v>
      </c>
      <c r="H48">
        <v>1292.4849999999999</v>
      </c>
      <c r="I48">
        <v>97.235399999999998</v>
      </c>
      <c r="J48">
        <v>0.66</v>
      </c>
      <c r="K48">
        <v>2.1000000000000001E-2</v>
      </c>
    </row>
    <row r="49" spans="1:11" x14ac:dyDescent="0.3">
      <c r="A49">
        <v>2007</v>
      </c>
      <c r="B49" s="2">
        <v>1216736438834.96</v>
      </c>
      <c r="C49">
        <f>(Table1[[#This Row],[GDP($)]]-B48)/B48</f>
        <v>0.29404269324271698</v>
      </c>
      <c r="D49" s="1">
        <v>253077526013.168</v>
      </c>
      <c r="E49">
        <v>20.799699748903201</v>
      </c>
      <c r="F49" s="1">
        <v>302803952552.5</v>
      </c>
      <c r="G49">
        <v>24.886568930444799</v>
      </c>
      <c r="H49">
        <v>1392.5060000000001</v>
      </c>
      <c r="I49">
        <v>107.23399999999999</v>
      </c>
      <c r="J49">
        <v>0.70799999999999996</v>
      </c>
      <c r="K49">
        <v>2.1999999999999999E-2</v>
      </c>
    </row>
    <row r="50" spans="1:11" x14ac:dyDescent="0.3">
      <c r="A50">
        <v>2008</v>
      </c>
      <c r="B50" s="2">
        <v>1198895139005.9199</v>
      </c>
      <c r="C50">
        <f>(Table1[[#This Row],[GDP($)]]-B49)/B49</f>
        <v>-1.4663241158556328E-2</v>
      </c>
      <c r="D50" s="1">
        <v>288902044820.698</v>
      </c>
      <c r="E50">
        <v>24.097357260139098</v>
      </c>
      <c r="F50" s="1">
        <v>350926955799.10602</v>
      </c>
      <c r="G50">
        <v>29.270863179083499</v>
      </c>
      <c r="H50">
        <v>1489.4369999999999</v>
      </c>
      <c r="I50">
        <v>111.99930000000001</v>
      </c>
      <c r="J50">
        <v>0.754</v>
      </c>
      <c r="K50">
        <v>2.3E-2</v>
      </c>
    </row>
    <row r="51" spans="1:11" x14ac:dyDescent="0.3">
      <c r="A51">
        <v>2009</v>
      </c>
      <c r="B51" s="2">
        <v>1341888016994.8999</v>
      </c>
      <c r="C51">
        <f>(Table1[[#This Row],[GDP($)]]-B50)/B50</f>
        <v>0.11927054613595686</v>
      </c>
      <c r="D51" s="1">
        <v>273752124889.211</v>
      </c>
      <c r="E51">
        <v>20.400519374356399</v>
      </c>
      <c r="F51" s="1">
        <v>347177967968.31598</v>
      </c>
      <c r="G51">
        <v>25.872350268527398</v>
      </c>
      <c r="H51">
        <v>1612.2159999999999</v>
      </c>
      <c r="I51">
        <v>117.89709999999999</v>
      </c>
      <c r="J51">
        <v>0.80300000000000005</v>
      </c>
      <c r="K51">
        <v>2.4E-2</v>
      </c>
    </row>
    <row r="52" spans="1:11" x14ac:dyDescent="0.3">
      <c r="A52">
        <v>2010</v>
      </c>
      <c r="B52" s="2">
        <v>1675615519484.96</v>
      </c>
      <c r="C52">
        <f>(Table1[[#This Row],[GDP($)]]-B51)/B51</f>
        <v>0.24869996472390324</v>
      </c>
      <c r="D52" s="1">
        <v>375353514026.26703</v>
      </c>
      <c r="E52">
        <v>22.400933248794502</v>
      </c>
      <c r="F52" s="1">
        <v>449974370198.802</v>
      </c>
      <c r="G52">
        <v>26.854273248621599</v>
      </c>
      <c r="H52">
        <v>1677.337</v>
      </c>
      <c r="I52">
        <v>125.69119999999999</v>
      </c>
      <c r="J52">
        <v>0.81699999999999995</v>
      </c>
      <c r="K52">
        <v>2.4E-2</v>
      </c>
    </row>
    <row r="53" spans="1:11" x14ac:dyDescent="0.3">
      <c r="A53">
        <v>2011</v>
      </c>
      <c r="B53" s="2">
        <v>1823051829894.55</v>
      </c>
      <c r="C53">
        <f>(Table1[[#This Row],[GDP($)]]-B52)/B52</f>
        <v>8.7989344032160868E-2</v>
      </c>
      <c r="D53" s="1">
        <v>447384417625.09302</v>
      </c>
      <c r="E53">
        <v>24.540411319571302</v>
      </c>
      <c r="F53" s="1">
        <v>566667744819.90796</v>
      </c>
      <c r="G53">
        <v>31.083468693958501</v>
      </c>
      <c r="H53">
        <v>1764.712</v>
      </c>
      <c r="I53">
        <v>140.83690000000001</v>
      </c>
      <c r="J53">
        <v>0.85199999999999998</v>
      </c>
      <c r="K53">
        <v>2.5000000000000001E-2</v>
      </c>
    </row>
    <row r="54" spans="1:11" x14ac:dyDescent="0.3">
      <c r="A54">
        <v>2012</v>
      </c>
      <c r="B54" s="2">
        <v>1827637590410.4099</v>
      </c>
      <c r="C54">
        <f>(Table1[[#This Row],[GDP($)]]-B53)/B53</f>
        <v>2.5154306864249246E-3</v>
      </c>
      <c r="D54" s="1">
        <v>448400477361.25403</v>
      </c>
      <c r="E54">
        <v>24.534430661418</v>
      </c>
      <c r="F54" s="1">
        <v>571306554042.38599</v>
      </c>
      <c r="G54">
        <v>31.259291067333201</v>
      </c>
      <c r="H54">
        <v>1925.7</v>
      </c>
      <c r="I54">
        <v>161.60839999999999</v>
      </c>
      <c r="J54">
        <v>0.94399999999999995</v>
      </c>
      <c r="K54">
        <v>2.5999999999999999E-2</v>
      </c>
    </row>
    <row r="55" spans="1:11" x14ac:dyDescent="0.3">
      <c r="A55">
        <v>2013</v>
      </c>
      <c r="B55" s="2">
        <v>1856721507621.5801</v>
      </c>
      <c r="C55">
        <f>(Table1[[#This Row],[GDP($)]]-B54)/B54</f>
        <v>1.5913394079752514E-2</v>
      </c>
      <c r="D55" s="1">
        <v>472180271340.14899</v>
      </c>
      <c r="E55">
        <v>25.430861300518998</v>
      </c>
      <c r="F55" s="1">
        <v>527555307105.95599</v>
      </c>
      <c r="G55">
        <v>28.413270646158701</v>
      </c>
      <c r="H55">
        <v>1995.098</v>
      </c>
      <c r="I55">
        <v>166.6301</v>
      </c>
      <c r="J55">
        <v>0.98499999999999999</v>
      </c>
      <c r="K55">
        <v>2.7E-2</v>
      </c>
    </row>
    <row r="56" spans="1:11" x14ac:dyDescent="0.3">
      <c r="A56">
        <v>2014</v>
      </c>
      <c r="B56" s="2">
        <v>2039126479154.52</v>
      </c>
      <c r="C56">
        <f>(Table1[[#This Row],[GDP($)]]-B55)/B55</f>
        <v>9.8240350415607969E-2</v>
      </c>
      <c r="D56" s="1">
        <v>468345815420.93298</v>
      </c>
      <c r="E56">
        <v>22.967963008117199</v>
      </c>
      <c r="F56" s="1">
        <v>529239428328.66498</v>
      </c>
      <c r="G56">
        <v>25.954222738949699</v>
      </c>
      <c r="H56">
        <v>2148.3440000000001</v>
      </c>
      <c r="I56">
        <v>157.5077</v>
      </c>
      <c r="J56">
        <v>1.0720000000000001</v>
      </c>
      <c r="K56">
        <v>2.8000000000000001E-2</v>
      </c>
    </row>
    <row r="57" spans="1:11" x14ac:dyDescent="0.3">
      <c r="A57">
        <v>2015</v>
      </c>
      <c r="B57" s="2">
        <v>2103588360044.9399</v>
      </c>
      <c r="C57">
        <f>(Table1[[#This Row],[GDP($)]]-B56)/B56</f>
        <v>3.1612497581389683E-2</v>
      </c>
      <c r="D57" s="1">
        <v>416787940847.81201</v>
      </c>
      <c r="E57">
        <v>19.813189156404501</v>
      </c>
      <c r="F57" s="1">
        <v>465097595426.18402</v>
      </c>
      <c r="G57">
        <v>22.109724709460199</v>
      </c>
      <c r="H57">
        <v>2234.2190000000001</v>
      </c>
      <c r="I57">
        <v>165.0651</v>
      </c>
      <c r="J57">
        <v>1.0920000000000001</v>
      </c>
      <c r="K57">
        <v>2.9000000000000001E-2</v>
      </c>
    </row>
    <row r="58" spans="1:11" x14ac:dyDescent="0.3">
      <c r="A58">
        <v>2016</v>
      </c>
      <c r="B58" s="2">
        <v>2294796885663.1602</v>
      </c>
      <c r="C58">
        <f>(Table1[[#This Row],[GDP($)]]-B57)/B57</f>
        <v>9.0896360357373029E-2</v>
      </c>
      <c r="D58" s="1">
        <v>439642578076.35797</v>
      </c>
      <c r="E58">
        <v>19.158234910594601</v>
      </c>
      <c r="F58" s="1">
        <v>480169055768.28198</v>
      </c>
      <c r="G58">
        <v>20.924250802681399</v>
      </c>
      <c r="H58">
        <v>2354.6579999999999</v>
      </c>
      <c r="I58">
        <v>177.83539999999999</v>
      </c>
      <c r="J58">
        <v>1.1160000000000001</v>
      </c>
      <c r="K58">
        <v>0.03</v>
      </c>
    </row>
    <row r="59" spans="1:11" x14ac:dyDescent="0.3">
      <c r="A59">
        <v>2017</v>
      </c>
      <c r="B59" s="2">
        <v>2651474262755.4502</v>
      </c>
      <c r="C59">
        <f>(Table1[[#This Row],[GDP($)]]-B58)/B58</f>
        <v>0.15542873503125568</v>
      </c>
      <c r="D59" s="1">
        <v>498258808231.521</v>
      </c>
      <c r="E59">
        <v>18.7917648392982</v>
      </c>
      <c r="F59" s="1">
        <v>582018012521.56799</v>
      </c>
      <c r="G59">
        <v>21.950732115224302</v>
      </c>
      <c r="H59">
        <v>2426.607</v>
      </c>
      <c r="I59">
        <v>187.5677</v>
      </c>
      <c r="J59">
        <v>1.141</v>
      </c>
      <c r="K59">
        <v>3.1E-2</v>
      </c>
    </row>
    <row r="60" spans="1:11" x14ac:dyDescent="0.3">
      <c r="A60">
        <v>2018</v>
      </c>
      <c r="B60" s="2">
        <v>2702929641648.7402</v>
      </c>
      <c r="C60">
        <f>(Table1[[#This Row],[GDP($)]]-B59)/B59</f>
        <v>1.9406327874296192E-2</v>
      </c>
      <c r="D60" s="1">
        <v>538635186135.43799</v>
      </c>
      <c r="E60">
        <v>19.927828598856198</v>
      </c>
      <c r="F60" s="1">
        <v>640300806738.54199</v>
      </c>
      <c r="G60">
        <v>23.6891407335327</v>
      </c>
      <c r="H60">
        <v>2593.058</v>
      </c>
      <c r="I60">
        <v>193.72659999999999</v>
      </c>
      <c r="J60">
        <v>1.214</v>
      </c>
      <c r="K60">
        <v>3.2000000000000001E-2</v>
      </c>
    </row>
    <row r="61" spans="1:11" x14ac:dyDescent="0.3">
      <c r="A61">
        <v>2019</v>
      </c>
      <c r="B61" s="2">
        <v>2835606256558.1899</v>
      </c>
      <c r="C61">
        <f>(Table1[[#This Row],[GDP($)]]-B60)/B60</f>
        <v>4.9086225873241476E-2</v>
      </c>
      <c r="D61" s="1">
        <v>529245063167.21503</v>
      </c>
      <c r="E61">
        <v>18.664264897256999</v>
      </c>
      <c r="F61" s="1">
        <v>602315056052.526</v>
      </c>
      <c r="G61">
        <v>21.241138633387202</v>
      </c>
      <c r="H61">
        <v>2612.8879999999999</v>
      </c>
      <c r="I61">
        <v>198.1046</v>
      </c>
      <c r="J61">
        <v>1.196</v>
      </c>
      <c r="K61">
        <v>3.3000000000000002E-2</v>
      </c>
    </row>
    <row r="62" spans="1:11" x14ac:dyDescent="0.3">
      <c r="A62">
        <v>2020</v>
      </c>
      <c r="B62" s="2">
        <v>2674851578587.27</v>
      </c>
      <c r="C62">
        <f>(Table1[[#This Row],[GDP($)]]-B61)/B61</f>
        <v>-5.6691466806834172E-2</v>
      </c>
      <c r="D62" s="1">
        <v>499728529072.62903</v>
      </c>
      <c r="E62">
        <v>18.682476929675602</v>
      </c>
      <c r="F62" s="1">
        <v>510244747372.17401</v>
      </c>
      <c r="G62">
        <v>19.0756283996012</v>
      </c>
      <c r="H62">
        <v>2421.5520000000001</v>
      </c>
      <c r="I62">
        <v>179.8434</v>
      </c>
      <c r="J62">
        <v>1.113</v>
      </c>
      <c r="K62">
        <v>3.4000000000000002E-2</v>
      </c>
    </row>
    <row r="63" spans="1:11" x14ac:dyDescent="0.3">
      <c r="A63">
        <v>2021</v>
      </c>
      <c r="B63" s="2">
        <v>3167270623260.4702</v>
      </c>
      <c r="C63">
        <f>(Table1[[#This Row],[GDP($)]]-B62)/B62</f>
        <v>0.18409210014309377</v>
      </c>
      <c r="D63" s="1">
        <v>677769255428.552</v>
      </c>
      <c r="E63">
        <v>21.399158330551501</v>
      </c>
      <c r="F63" s="1">
        <v>760902891806.01294</v>
      </c>
      <c r="G63">
        <v>24.023930453493101</v>
      </c>
      <c r="H63">
        <v>2674.2220000000002</v>
      </c>
      <c r="I63">
        <v>206.3263</v>
      </c>
      <c r="J63">
        <v>1.25</v>
      </c>
      <c r="K63">
        <v>3.5999999999999997E-2</v>
      </c>
    </row>
    <row r="64" spans="1:11" x14ac:dyDescent="0.3">
      <c r="A64">
        <v>2022</v>
      </c>
      <c r="B64" s="2">
        <v>3346107287730.9302</v>
      </c>
      <c r="C64">
        <f>(Table1[[#This Row],[GDP($)]]-B63)/B63</f>
        <v>5.6463967163740775E-2</v>
      </c>
      <c r="D64" s="1">
        <v>778021514754.53101</v>
      </c>
      <c r="E64">
        <v>23.251541204529801</v>
      </c>
      <c r="F64" s="1">
        <v>897550749081.828</v>
      </c>
      <c r="G64">
        <v>26.8237289453584</v>
      </c>
      <c r="H64">
        <v>2831.1660000000002</v>
      </c>
      <c r="I64">
        <v>222.71960000000001</v>
      </c>
      <c r="J64">
        <v>1.302</v>
      </c>
      <c r="K64">
        <v>3.6999999999999998E-2</v>
      </c>
    </row>
    <row r="65" spans="1:11" x14ac:dyDescent="0.3">
      <c r="A65">
        <v>2023</v>
      </c>
      <c r="B65" s="2">
        <v>3638489096033.8599</v>
      </c>
      <c r="C65">
        <f>(Table1[[#This Row],[GDP($)]]-B64)/B64</f>
        <v>8.7379687248821086E-2</v>
      </c>
      <c r="D65" s="1">
        <v>780408530088.59595</v>
      </c>
      <c r="E65">
        <v>21.448697783354099</v>
      </c>
      <c r="F65" s="1">
        <v>856651130547.12195</v>
      </c>
      <c r="G65">
        <v>23.544144504401999</v>
      </c>
      <c r="H65">
        <v>3062.3240000000001</v>
      </c>
      <c r="I65">
        <v>237.9015</v>
      </c>
      <c r="J65">
        <v>1.413</v>
      </c>
      <c r="K65">
        <v>3.7999999999999999E-2</v>
      </c>
    </row>
    <row r="66" spans="1:11" x14ac:dyDescent="0.3">
      <c r="A66">
        <v>2024</v>
      </c>
      <c r="B66" s="2">
        <v>3912686168582.21</v>
      </c>
      <c r="C66">
        <f>(Table1[[#This Row],[GDP($)]]-B65)/B65</f>
        <v>7.5360146838763103E-2</v>
      </c>
      <c r="D66" s="1">
        <v>828633462822.49695</v>
      </c>
      <c r="E66">
        <v>21.178122321084501</v>
      </c>
      <c r="F66" s="1">
        <v>919206200071.172</v>
      </c>
      <c r="G66">
        <v>23.492970314157699</v>
      </c>
    </row>
    <row r="67" spans="1:11" x14ac:dyDescent="0.3">
      <c r="A67">
        <v>2025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Dev</dc:creator>
  <cp:lastModifiedBy>Bharath Dev</cp:lastModifiedBy>
  <dcterms:created xsi:type="dcterms:W3CDTF">2025-10-31T12:08:52Z</dcterms:created>
  <dcterms:modified xsi:type="dcterms:W3CDTF">2025-11-02T10:52:58Z</dcterms:modified>
</cp:coreProperties>
</file>